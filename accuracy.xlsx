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1" i="1"/>
  <c r="F35" i="1"/>
  <c r="F21" i="1"/>
  <c r="D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9" i="1"/>
  <c r="D4" i="1"/>
  <c r="D5" i="1"/>
  <c r="D6" i="1"/>
  <c r="D7" i="1"/>
  <c r="D8" i="1"/>
  <c r="D10" i="1"/>
  <c r="D11" i="1"/>
  <c r="D12" i="1"/>
  <c r="D13" i="1"/>
  <c r="D14" i="1"/>
  <c r="D15" i="1"/>
  <c r="D16" i="1"/>
  <c r="D17" i="1"/>
  <c r="D35" i="1"/>
  <c r="D3" i="1" l="1"/>
</calcChain>
</file>

<file path=xl/sharedStrings.xml><?xml version="1.0" encoding="utf-8"?>
<sst xmlns="http://schemas.openxmlformats.org/spreadsheetml/2006/main" count="56" uniqueCount="24">
  <si>
    <t>YOLOV8</t>
  </si>
  <si>
    <t>Món ăn</t>
  </si>
  <si>
    <t>Số ảnh dự đoán</t>
  </si>
  <si>
    <t>Tỷ lệ dự đoán đúng</t>
  </si>
  <si>
    <t>YOLOV9</t>
  </si>
  <si>
    <t>RT-DETR</t>
  </si>
  <si>
    <t>Bún cá</t>
  </si>
  <si>
    <t>Hủ tiếu Mỹ Tho</t>
  </si>
  <si>
    <t>Bún nước lèo</t>
  </si>
  <si>
    <t>Cơm tấm Long Xuyên</t>
  </si>
  <si>
    <t>Bún hải sản bề bề</t>
  </si>
  <si>
    <t>Bánh hỏi heo quay</t>
  </si>
  <si>
    <t>Cơm gà</t>
  </si>
  <si>
    <t>Cao lầu</t>
  </si>
  <si>
    <t>Mì Quảng</t>
  </si>
  <si>
    <t>Bún bò Huế</t>
  </si>
  <si>
    <t>Phở Hà Nội</t>
  </si>
  <si>
    <t>Bún mực</t>
  </si>
  <si>
    <t>Bún mọc</t>
  </si>
  <si>
    <t>Bún đậu mắm tôm</t>
  </si>
  <si>
    <t>Dự đoán đúng</t>
  </si>
  <si>
    <t>Độ chính xác trung bình</t>
  </si>
  <si>
    <t>KO KHỚP ƯU TIÊN + KO KHỚP CHÍNH + KO KHỚP PHỤ + DƯ</t>
  </si>
  <si>
    <t>KO KHỚP ƯU TIÊN + KO KHỚP CHÍNH - + KHỚP VỚI PHỤ + DƯ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</si>
</sst>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9" fontId="1" fillId="0" borderId="1" xfId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A16" workbookViewId="0">
      <selection activeCell="F37" sqref="F37"/>
    </sheetView>
  </sheetViews>
  <sheetFormatPr defaultRowHeight="15.6" x14ac:dyDescent="0.3"/>
  <cols>
    <col min="1" max="1" width="22.6640625" style="4" customWidth="1"/>
    <col min="2" max="2" width="18.6640625" style="4" customWidth="1"/>
    <col min="3" max="3" width="16.5546875" style="4" customWidth="1"/>
    <col min="4" max="4" width="21.5546875" style="4" customWidth="1"/>
    <col min="5" max="5" width="15.88671875" style="4" customWidth="1"/>
    <col min="6" max="6" width="20" style="4" customWidth="1"/>
    <col min="7" max="7" width="16.109375" style="4" customWidth="1"/>
    <col min="8" max="8" width="22.109375" style="4" customWidth="1"/>
    <col min="9" max="9" width="5.88671875" style="4" customWidth="1"/>
    <col min="10" max="11" width="8.88671875" style="4"/>
    <col min="12" max="12" width="11.109375" style="4" customWidth="1"/>
    <col min="13" max="16384" width="8.88671875" style="4"/>
  </cols>
  <sheetData>
    <row r="1" spans="1:12" ht="15.6" customHeight="1" x14ac:dyDescent="0.3">
      <c r="A1" s="14" t="s">
        <v>1</v>
      </c>
      <c r="B1" s="15" t="s">
        <v>2</v>
      </c>
      <c r="C1" s="14" t="s">
        <v>0</v>
      </c>
      <c r="D1" s="14"/>
      <c r="E1" s="14" t="s">
        <v>4</v>
      </c>
      <c r="F1" s="14"/>
      <c r="G1" s="14" t="s">
        <v>5</v>
      </c>
      <c r="H1" s="14"/>
      <c r="I1" s="12" t="s">
        <v>22</v>
      </c>
      <c r="J1" s="13"/>
      <c r="K1" s="13"/>
      <c r="L1" s="13"/>
    </row>
    <row r="2" spans="1:12" x14ac:dyDescent="0.3">
      <c r="A2" s="14"/>
      <c r="B2" s="16"/>
      <c r="C2" s="3" t="s">
        <v>20</v>
      </c>
      <c r="D2" s="3" t="s">
        <v>3</v>
      </c>
      <c r="E2" s="3" t="s">
        <v>20</v>
      </c>
      <c r="F2" s="3" t="s">
        <v>3</v>
      </c>
      <c r="G2" s="3" t="s">
        <v>20</v>
      </c>
      <c r="H2" s="3" t="s">
        <v>3</v>
      </c>
      <c r="I2" s="12"/>
      <c r="J2" s="13"/>
      <c r="K2" s="13"/>
      <c r="L2" s="13"/>
    </row>
    <row r="3" spans="1:12" x14ac:dyDescent="0.3">
      <c r="A3" s="2" t="s">
        <v>6</v>
      </c>
      <c r="B3" s="1">
        <v>111</v>
      </c>
      <c r="C3" s="1">
        <v>106</v>
      </c>
      <c r="D3" s="6">
        <f t="shared" ref="D3:D16" si="0">(C3/B3)</f>
        <v>0.95495495495495497</v>
      </c>
      <c r="E3" s="1"/>
      <c r="F3" s="1"/>
      <c r="G3" s="1"/>
      <c r="H3" s="1"/>
      <c r="I3" s="12"/>
      <c r="J3" s="13"/>
      <c r="K3" s="13"/>
      <c r="L3" s="13"/>
    </row>
    <row r="4" spans="1:12" x14ac:dyDescent="0.3">
      <c r="A4" s="2" t="s">
        <v>7</v>
      </c>
      <c r="B4" s="1">
        <v>60</v>
      </c>
      <c r="C4" s="1">
        <v>51</v>
      </c>
      <c r="D4" s="9">
        <f t="shared" si="0"/>
        <v>0.85</v>
      </c>
      <c r="E4" s="1"/>
      <c r="F4" s="1"/>
      <c r="G4" s="1"/>
      <c r="H4" s="1"/>
      <c r="I4" s="12"/>
      <c r="J4" s="13"/>
      <c r="K4" s="13"/>
      <c r="L4" s="13"/>
    </row>
    <row r="5" spans="1:12" x14ac:dyDescent="0.3">
      <c r="A5" s="2" t="s">
        <v>8</v>
      </c>
      <c r="B5" s="1">
        <v>120</v>
      </c>
      <c r="C5" s="1">
        <v>98</v>
      </c>
      <c r="D5" s="7">
        <f t="shared" si="0"/>
        <v>0.81666666666666665</v>
      </c>
      <c r="E5" s="1"/>
      <c r="F5" s="1"/>
      <c r="G5" s="1"/>
      <c r="H5" s="1"/>
      <c r="I5" s="12"/>
      <c r="J5" s="13"/>
      <c r="K5" s="13"/>
      <c r="L5" s="13"/>
    </row>
    <row r="6" spans="1:12" x14ac:dyDescent="0.3">
      <c r="A6" s="2" t="s">
        <v>9</v>
      </c>
      <c r="B6" s="1">
        <v>195</v>
      </c>
      <c r="C6" s="1">
        <v>194</v>
      </c>
      <c r="D6" s="7">
        <f t="shared" si="0"/>
        <v>0.99487179487179489</v>
      </c>
      <c r="E6" s="1"/>
      <c r="F6" s="1"/>
      <c r="G6" s="1"/>
      <c r="H6" s="1"/>
      <c r="I6" s="12"/>
      <c r="J6" s="13"/>
      <c r="K6" s="13"/>
      <c r="L6" s="13"/>
    </row>
    <row r="7" spans="1:12" x14ac:dyDescent="0.3">
      <c r="A7" s="2" t="s">
        <v>10</v>
      </c>
      <c r="B7" s="1">
        <v>174</v>
      </c>
      <c r="C7" s="1">
        <v>168</v>
      </c>
      <c r="D7" s="7">
        <f t="shared" si="0"/>
        <v>0.96551724137931039</v>
      </c>
      <c r="E7" s="1"/>
      <c r="F7" s="1"/>
      <c r="G7" s="1"/>
      <c r="H7" s="1"/>
      <c r="I7" s="12"/>
      <c r="J7" s="13"/>
      <c r="K7" s="13"/>
      <c r="L7" s="13"/>
    </row>
    <row r="8" spans="1:12" x14ac:dyDescent="0.3">
      <c r="A8" s="2" t="s">
        <v>11</v>
      </c>
      <c r="B8" s="1">
        <v>96</v>
      </c>
      <c r="C8" s="1">
        <v>96</v>
      </c>
      <c r="D8" s="9">
        <f t="shared" si="0"/>
        <v>1</v>
      </c>
      <c r="E8" s="1"/>
      <c r="F8" s="1"/>
      <c r="G8" s="1"/>
      <c r="H8" s="1"/>
      <c r="I8" s="12"/>
      <c r="J8" s="13"/>
      <c r="K8" s="13"/>
      <c r="L8" s="13"/>
    </row>
    <row r="9" spans="1:12" x14ac:dyDescent="0.3">
      <c r="A9" s="2" t="s">
        <v>12</v>
      </c>
      <c r="B9" s="1">
        <v>172</v>
      </c>
      <c r="C9" s="1">
        <v>172</v>
      </c>
      <c r="D9" s="9">
        <f t="shared" si="0"/>
        <v>1</v>
      </c>
      <c r="E9" s="1"/>
      <c r="F9" s="1"/>
      <c r="G9" s="1"/>
      <c r="H9" s="1"/>
      <c r="I9" s="12"/>
      <c r="J9" s="13"/>
      <c r="K9" s="13"/>
      <c r="L9" s="13"/>
    </row>
    <row r="10" spans="1:12" x14ac:dyDescent="0.3">
      <c r="A10" s="2" t="s">
        <v>13</v>
      </c>
      <c r="B10" s="1">
        <v>165</v>
      </c>
      <c r="C10" s="1">
        <v>158</v>
      </c>
      <c r="D10" s="7">
        <f t="shared" si="0"/>
        <v>0.95757575757575752</v>
      </c>
      <c r="E10" s="1"/>
      <c r="F10" s="1"/>
      <c r="G10" s="1"/>
      <c r="H10" s="1"/>
      <c r="I10" s="12"/>
      <c r="J10" s="13"/>
      <c r="K10" s="13"/>
      <c r="L10" s="13"/>
    </row>
    <row r="11" spans="1:12" x14ac:dyDescent="0.3">
      <c r="A11" s="2" t="s">
        <v>14</v>
      </c>
      <c r="B11" s="1">
        <v>150</v>
      </c>
      <c r="C11" s="1">
        <v>116</v>
      </c>
      <c r="D11" s="7">
        <f t="shared" si="0"/>
        <v>0.77333333333333332</v>
      </c>
      <c r="E11" s="1"/>
      <c r="F11" s="1"/>
      <c r="G11" s="1"/>
      <c r="H11" s="1"/>
      <c r="I11" s="12"/>
      <c r="J11" s="13"/>
      <c r="K11" s="13"/>
      <c r="L11" s="13"/>
    </row>
    <row r="12" spans="1:12" x14ac:dyDescent="0.3">
      <c r="A12" s="2" t="s">
        <v>15</v>
      </c>
      <c r="B12" s="1">
        <v>144</v>
      </c>
      <c r="C12" s="1">
        <v>143</v>
      </c>
      <c r="D12" s="7">
        <f t="shared" si="0"/>
        <v>0.99305555555555558</v>
      </c>
      <c r="E12" s="1"/>
      <c r="F12" s="1"/>
      <c r="G12" s="1"/>
      <c r="H12" s="1"/>
      <c r="I12" s="12"/>
      <c r="J12" s="13"/>
      <c r="K12" s="13"/>
      <c r="L12" s="13"/>
    </row>
    <row r="13" spans="1:12" x14ac:dyDescent="0.3">
      <c r="A13" s="2" t="s">
        <v>16</v>
      </c>
      <c r="B13" s="1">
        <v>177</v>
      </c>
      <c r="C13" s="1">
        <v>177</v>
      </c>
      <c r="D13" s="9">
        <f t="shared" si="0"/>
        <v>1</v>
      </c>
      <c r="E13" s="1"/>
      <c r="F13" s="1"/>
      <c r="G13" s="1"/>
      <c r="H13" s="1"/>
      <c r="I13" s="12"/>
      <c r="J13" s="13"/>
      <c r="K13" s="13"/>
      <c r="L13" s="13"/>
    </row>
    <row r="14" spans="1:12" x14ac:dyDescent="0.3">
      <c r="A14" s="2" t="s">
        <v>17</v>
      </c>
      <c r="B14" s="1">
        <v>84</v>
      </c>
      <c r="C14" s="1">
        <v>82</v>
      </c>
      <c r="D14" s="7">
        <f t="shared" si="0"/>
        <v>0.97619047619047616</v>
      </c>
      <c r="E14" s="1"/>
      <c r="F14" s="1"/>
      <c r="G14" s="1"/>
      <c r="H14" s="1"/>
      <c r="I14" s="12"/>
      <c r="J14" s="13"/>
      <c r="K14" s="13"/>
      <c r="L14" s="13"/>
    </row>
    <row r="15" spans="1:12" x14ac:dyDescent="0.3">
      <c r="A15" s="2" t="s">
        <v>18</v>
      </c>
      <c r="B15" s="1">
        <v>104</v>
      </c>
      <c r="C15" s="1">
        <v>103</v>
      </c>
      <c r="D15" s="7">
        <f t="shared" si="0"/>
        <v>0.99038461538461542</v>
      </c>
      <c r="E15" s="1"/>
      <c r="F15" s="1"/>
      <c r="G15" s="1"/>
      <c r="H15" s="1"/>
      <c r="I15" s="12"/>
      <c r="J15" s="13"/>
      <c r="K15" s="13"/>
      <c r="L15" s="13"/>
    </row>
    <row r="16" spans="1:12" x14ac:dyDescent="0.3">
      <c r="A16" s="2" t="s">
        <v>19</v>
      </c>
      <c r="B16" s="1">
        <v>146</v>
      </c>
      <c r="C16" s="1">
        <v>139</v>
      </c>
      <c r="D16" s="7">
        <f t="shared" si="0"/>
        <v>0.95205479452054798</v>
      </c>
      <c r="E16" s="1"/>
      <c r="F16" s="1"/>
      <c r="G16" s="1"/>
      <c r="H16" s="1"/>
      <c r="I16" s="12"/>
      <c r="J16" s="13"/>
      <c r="K16" s="13"/>
      <c r="L16" s="13"/>
    </row>
    <row r="17" spans="1:12" ht="37.200000000000003" customHeight="1" x14ac:dyDescent="0.3">
      <c r="A17" s="10"/>
      <c r="B17" s="11"/>
      <c r="C17" s="5" t="s">
        <v>21</v>
      </c>
      <c r="D17" s="8">
        <f>SUM(C3:C16)/SUM(B3:B16)</f>
        <v>0.94994731296101154</v>
      </c>
      <c r="E17" s="2"/>
      <c r="F17" s="2"/>
      <c r="G17" s="2"/>
      <c r="H17" s="2"/>
      <c r="I17" s="12"/>
      <c r="J17" s="13"/>
      <c r="K17" s="13"/>
      <c r="L17" s="13"/>
    </row>
    <row r="18" spans="1:12" ht="33.6" customHeight="1" x14ac:dyDescent="0.3"/>
    <row r="19" spans="1:12" x14ac:dyDescent="0.3">
      <c r="A19" s="14" t="s">
        <v>1</v>
      </c>
      <c r="B19" s="15" t="s">
        <v>2</v>
      </c>
      <c r="C19" s="14" t="s">
        <v>0</v>
      </c>
      <c r="D19" s="14"/>
      <c r="E19" s="14" t="s">
        <v>4</v>
      </c>
      <c r="F19" s="14"/>
      <c r="G19" s="14" t="s">
        <v>5</v>
      </c>
      <c r="H19" s="14"/>
      <c r="I19" s="12" t="s">
        <v>23</v>
      </c>
      <c r="J19" s="13"/>
      <c r="K19" s="13"/>
      <c r="L19" s="13"/>
    </row>
    <row r="20" spans="1:12" x14ac:dyDescent="0.3">
      <c r="A20" s="14"/>
      <c r="B20" s="16"/>
      <c r="C20" s="3" t="s">
        <v>20</v>
      </c>
      <c r="D20" s="3" t="s">
        <v>3</v>
      </c>
      <c r="E20" s="3" t="s">
        <v>20</v>
      </c>
      <c r="F20" s="3" t="s">
        <v>3</v>
      </c>
      <c r="G20" s="3" t="s">
        <v>20</v>
      </c>
      <c r="H20" s="3" t="s">
        <v>3</v>
      </c>
      <c r="I20" s="12"/>
      <c r="J20" s="13"/>
      <c r="K20" s="13"/>
      <c r="L20" s="13"/>
    </row>
    <row r="21" spans="1:12" x14ac:dyDescent="0.3">
      <c r="A21" s="2" t="s">
        <v>6</v>
      </c>
      <c r="B21" s="1">
        <v>111</v>
      </c>
      <c r="C21" s="1">
        <v>110</v>
      </c>
      <c r="D21" s="6">
        <f>(C21/B21)</f>
        <v>0.99099099099099097</v>
      </c>
      <c r="E21" s="1">
        <v>111</v>
      </c>
      <c r="F21" s="9">
        <f>(E21/B21)</f>
        <v>1</v>
      </c>
      <c r="G21" s="1">
        <v>110</v>
      </c>
      <c r="H21" s="7">
        <f>G21/B21</f>
        <v>0.99099099099099097</v>
      </c>
      <c r="I21" s="12"/>
      <c r="J21" s="13"/>
      <c r="K21" s="13"/>
      <c r="L21" s="13"/>
    </row>
    <row r="22" spans="1:12" x14ac:dyDescent="0.3">
      <c r="A22" s="2" t="s">
        <v>7</v>
      </c>
      <c r="B22" s="1">
        <v>60</v>
      </c>
      <c r="C22" s="1">
        <v>50</v>
      </c>
      <c r="D22" s="7">
        <f t="shared" ref="D21:D34" si="1">(C22/B22)</f>
        <v>0.83333333333333337</v>
      </c>
      <c r="E22" s="1">
        <v>51</v>
      </c>
      <c r="F22" s="9">
        <f t="shared" ref="F22:F34" si="2">(E22/B22)</f>
        <v>0.85</v>
      </c>
      <c r="G22" s="1">
        <v>53</v>
      </c>
      <c r="H22" s="7">
        <f t="shared" ref="H22:H34" si="3">G22/B22</f>
        <v>0.8833333333333333</v>
      </c>
      <c r="I22" s="12"/>
      <c r="J22" s="13"/>
      <c r="K22" s="13"/>
      <c r="L22" s="13"/>
    </row>
    <row r="23" spans="1:12" x14ac:dyDescent="0.3">
      <c r="A23" s="2" t="s">
        <v>8</v>
      </c>
      <c r="B23" s="1">
        <v>120</v>
      </c>
      <c r="C23" s="1">
        <v>106</v>
      </c>
      <c r="D23" s="7">
        <f t="shared" si="1"/>
        <v>0.8833333333333333</v>
      </c>
      <c r="E23" s="1">
        <v>105</v>
      </c>
      <c r="F23" s="7">
        <f t="shared" si="2"/>
        <v>0.875</v>
      </c>
      <c r="G23" s="1">
        <v>105</v>
      </c>
      <c r="H23" s="7">
        <f t="shared" si="3"/>
        <v>0.875</v>
      </c>
      <c r="I23" s="12"/>
      <c r="J23" s="13"/>
      <c r="K23" s="13"/>
      <c r="L23" s="13"/>
    </row>
    <row r="24" spans="1:12" x14ac:dyDescent="0.3">
      <c r="A24" s="2" t="s">
        <v>9</v>
      </c>
      <c r="B24" s="1">
        <v>195</v>
      </c>
      <c r="C24" s="1">
        <v>195</v>
      </c>
      <c r="D24" s="9">
        <f t="shared" si="1"/>
        <v>1</v>
      </c>
      <c r="E24" s="1">
        <v>195</v>
      </c>
      <c r="F24" s="9">
        <f t="shared" si="2"/>
        <v>1</v>
      </c>
      <c r="G24" s="1">
        <v>194</v>
      </c>
      <c r="H24" s="7">
        <f t="shared" si="3"/>
        <v>0.99487179487179489</v>
      </c>
      <c r="I24" s="12"/>
      <c r="J24" s="13"/>
      <c r="K24" s="13"/>
      <c r="L24" s="13"/>
    </row>
    <row r="25" spans="1:12" x14ac:dyDescent="0.3">
      <c r="A25" s="2" t="s">
        <v>10</v>
      </c>
      <c r="B25" s="1">
        <v>174</v>
      </c>
      <c r="C25" s="1">
        <v>168</v>
      </c>
      <c r="D25" s="7">
        <f t="shared" si="1"/>
        <v>0.96551724137931039</v>
      </c>
      <c r="E25" s="1">
        <v>167</v>
      </c>
      <c r="F25" s="7">
        <f t="shared" si="2"/>
        <v>0.95977011494252873</v>
      </c>
      <c r="G25" s="1">
        <v>167</v>
      </c>
      <c r="H25" s="7">
        <f t="shared" si="3"/>
        <v>0.95977011494252873</v>
      </c>
      <c r="I25" s="12"/>
      <c r="J25" s="13"/>
      <c r="K25" s="13"/>
      <c r="L25" s="13"/>
    </row>
    <row r="26" spans="1:12" x14ac:dyDescent="0.3">
      <c r="A26" s="2" t="s">
        <v>11</v>
      </c>
      <c r="B26" s="1">
        <v>96</v>
      </c>
      <c r="C26" s="1">
        <v>96</v>
      </c>
      <c r="D26" s="9">
        <f t="shared" si="1"/>
        <v>1</v>
      </c>
      <c r="E26" s="1">
        <v>96</v>
      </c>
      <c r="F26" s="9">
        <f t="shared" si="2"/>
        <v>1</v>
      </c>
      <c r="G26" s="1">
        <v>96</v>
      </c>
      <c r="H26" s="9">
        <f t="shared" si="3"/>
        <v>1</v>
      </c>
      <c r="I26" s="12"/>
      <c r="J26" s="13"/>
      <c r="K26" s="13"/>
      <c r="L26" s="13"/>
    </row>
    <row r="27" spans="1:12" x14ac:dyDescent="0.3">
      <c r="A27" s="2" t="s">
        <v>12</v>
      </c>
      <c r="B27" s="1">
        <v>172</v>
      </c>
      <c r="C27" s="1">
        <v>172</v>
      </c>
      <c r="D27" s="9">
        <f t="shared" si="1"/>
        <v>1</v>
      </c>
      <c r="E27" s="1">
        <v>172</v>
      </c>
      <c r="F27" s="9">
        <f t="shared" si="2"/>
        <v>1</v>
      </c>
      <c r="G27" s="1">
        <v>172</v>
      </c>
      <c r="H27" s="9">
        <f t="shared" si="3"/>
        <v>1</v>
      </c>
      <c r="I27" s="12"/>
      <c r="J27" s="13"/>
      <c r="K27" s="13"/>
      <c r="L27" s="13"/>
    </row>
    <row r="28" spans="1:12" x14ac:dyDescent="0.3">
      <c r="A28" s="2" t="s">
        <v>13</v>
      </c>
      <c r="B28" s="1">
        <v>165</v>
      </c>
      <c r="C28" s="1">
        <v>154</v>
      </c>
      <c r="D28" s="7">
        <f t="shared" si="1"/>
        <v>0.93333333333333335</v>
      </c>
      <c r="E28" s="1">
        <v>154</v>
      </c>
      <c r="F28" s="7">
        <f t="shared" si="2"/>
        <v>0.93333333333333335</v>
      </c>
      <c r="G28" s="1">
        <v>155</v>
      </c>
      <c r="H28" s="7">
        <f t="shared" si="3"/>
        <v>0.93939393939393945</v>
      </c>
      <c r="I28" s="12"/>
      <c r="J28" s="13"/>
      <c r="K28" s="13"/>
      <c r="L28" s="13"/>
    </row>
    <row r="29" spans="1:12" x14ac:dyDescent="0.3">
      <c r="A29" s="2" t="s">
        <v>14</v>
      </c>
      <c r="B29" s="1">
        <v>150</v>
      </c>
      <c r="C29" s="1">
        <v>141</v>
      </c>
      <c r="D29" s="9">
        <f t="shared" si="1"/>
        <v>0.94</v>
      </c>
      <c r="E29" s="1">
        <v>139</v>
      </c>
      <c r="F29" s="7">
        <f t="shared" si="2"/>
        <v>0.92666666666666664</v>
      </c>
      <c r="G29" s="1">
        <v>143</v>
      </c>
      <c r="H29" s="7">
        <f t="shared" si="3"/>
        <v>0.95333333333333337</v>
      </c>
      <c r="I29" s="12"/>
      <c r="J29" s="13"/>
      <c r="K29" s="13"/>
      <c r="L29" s="13"/>
    </row>
    <row r="30" spans="1:12" x14ac:dyDescent="0.3">
      <c r="A30" s="2" t="s">
        <v>15</v>
      </c>
      <c r="B30" s="1">
        <v>144</v>
      </c>
      <c r="C30" s="1">
        <v>143</v>
      </c>
      <c r="D30" s="7">
        <f t="shared" si="1"/>
        <v>0.99305555555555558</v>
      </c>
      <c r="E30" s="1">
        <v>144</v>
      </c>
      <c r="F30" s="9">
        <f t="shared" si="2"/>
        <v>1</v>
      </c>
      <c r="G30" s="1">
        <v>143</v>
      </c>
      <c r="H30" s="7">
        <f t="shared" si="3"/>
        <v>0.99305555555555558</v>
      </c>
      <c r="I30" s="12"/>
      <c r="J30" s="13"/>
      <c r="K30" s="13"/>
      <c r="L30" s="13"/>
    </row>
    <row r="31" spans="1:12" x14ac:dyDescent="0.3">
      <c r="A31" s="2" t="s">
        <v>16</v>
      </c>
      <c r="B31" s="1">
        <v>177</v>
      </c>
      <c r="C31" s="1">
        <v>177</v>
      </c>
      <c r="D31" s="9">
        <f t="shared" si="1"/>
        <v>1</v>
      </c>
      <c r="E31" s="1">
        <v>176</v>
      </c>
      <c r="F31" s="7">
        <f t="shared" si="2"/>
        <v>0.99435028248587576</v>
      </c>
      <c r="G31" s="1">
        <v>177</v>
      </c>
      <c r="H31" s="9">
        <f t="shared" si="3"/>
        <v>1</v>
      </c>
      <c r="I31" s="12"/>
      <c r="J31" s="13"/>
      <c r="K31" s="13"/>
      <c r="L31" s="13"/>
    </row>
    <row r="32" spans="1:12" x14ac:dyDescent="0.3">
      <c r="A32" s="2" t="s">
        <v>17</v>
      </c>
      <c r="B32" s="1">
        <v>84</v>
      </c>
      <c r="C32" s="1">
        <v>83</v>
      </c>
      <c r="D32" s="7">
        <f t="shared" si="1"/>
        <v>0.98809523809523814</v>
      </c>
      <c r="E32" s="1">
        <v>83</v>
      </c>
      <c r="F32" s="7">
        <f t="shared" si="2"/>
        <v>0.98809523809523814</v>
      </c>
      <c r="G32" s="1">
        <v>82</v>
      </c>
      <c r="H32" s="7">
        <f t="shared" si="3"/>
        <v>0.97619047619047616</v>
      </c>
      <c r="I32" s="12"/>
      <c r="J32" s="13"/>
      <c r="K32" s="13"/>
      <c r="L32" s="13"/>
    </row>
    <row r="33" spans="1:12" x14ac:dyDescent="0.3">
      <c r="A33" s="2" t="s">
        <v>18</v>
      </c>
      <c r="B33" s="1">
        <v>104</v>
      </c>
      <c r="C33" s="1">
        <v>103</v>
      </c>
      <c r="D33" s="7">
        <f t="shared" si="1"/>
        <v>0.99038461538461542</v>
      </c>
      <c r="E33" s="1">
        <v>104</v>
      </c>
      <c r="F33" s="9">
        <f t="shared" si="2"/>
        <v>1</v>
      </c>
      <c r="G33" s="1">
        <v>103</v>
      </c>
      <c r="H33" s="7">
        <f t="shared" si="3"/>
        <v>0.99038461538461542</v>
      </c>
      <c r="I33" s="12"/>
      <c r="J33" s="13"/>
      <c r="K33" s="13"/>
      <c r="L33" s="13"/>
    </row>
    <row r="34" spans="1:12" x14ac:dyDescent="0.3">
      <c r="A34" s="2" t="s">
        <v>19</v>
      </c>
      <c r="B34" s="1">
        <v>146</v>
      </c>
      <c r="C34" s="1">
        <v>139</v>
      </c>
      <c r="D34" s="7">
        <f t="shared" si="1"/>
        <v>0.95205479452054798</v>
      </c>
      <c r="E34" s="1">
        <v>140</v>
      </c>
      <c r="F34" s="7">
        <f t="shared" si="2"/>
        <v>0.95890410958904104</v>
      </c>
      <c r="G34" s="1">
        <v>138</v>
      </c>
      <c r="H34" s="7">
        <f t="shared" si="3"/>
        <v>0.9452054794520548</v>
      </c>
      <c r="I34" s="12"/>
      <c r="J34" s="13"/>
      <c r="K34" s="13"/>
      <c r="L34" s="13"/>
    </row>
    <row r="35" spans="1:12" ht="31.2" x14ac:dyDescent="0.3">
      <c r="A35" s="10"/>
      <c r="B35" s="11"/>
      <c r="C35" s="5" t="s">
        <v>21</v>
      </c>
      <c r="D35" s="8">
        <f>SUM(C21:C34)/SUM(B21:B34)</f>
        <v>0.96786090621707055</v>
      </c>
      <c r="E35" s="5" t="s">
        <v>21</v>
      </c>
      <c r="F35" s="7">
        <f>SUM(E21:E34)/SUM(B21:B34)</f>
        <v>0.96786090621707055</v>
      </c>
      <c r="G35" s="5" t="s">
        <v>21</v>
      </c>
      <c r="H35" s="7">
        <f>SUM(G21:G34)/SUM(B21:B34)</f>
        <v>0.96838777660695474</v>
      </c>
      <c r="I35" s="12"/>
      <c r="J35" s="13"/>
      <c r="K35" s="13"/>
      <c r="L35" s="13"/>
    </row>
  </sheetData>
  <mergeCells count="14">
    <mergeCell ref="A17:B17"/>
    <mergeCell ref="A35:B35"/>
    <mergeCell ref="I1:L17"/>
    <mergeCell ref="I19:L35"/>
    <mergeCell ref="A1:A2"/>
    <mergeCell ref="C1:D1"/>
    <mergeCell ref="E1:F1"/>
    <mergeCell ref="G1:H1"/>
    <mergeCell ref="B1:B2"/>
    <mergeCell ref="A19:A20"/>
    <mergeCell ref="C19:D19"/>
    <mergeCell ref="E19:F19"/>
    <mergeCell ref="G19:H19"/>
    <mergeCell ref="B19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2024-05-09T21:02:46Z</dcterms:modified>
</cp:coreProperties>
</file>