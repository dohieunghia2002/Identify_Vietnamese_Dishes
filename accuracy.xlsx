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7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3" i="1"/>
  <c r="N4" i="1" l="1"/>
  <c r="N5" i="1"/>
  <c r="N6" i="1"/>
  <c r="N7" i="1"/>
  <c r="N8" i="1"/>
  <c r="N9" i="1"/>
  <c r="N10" i="1"/>
  <c r="N11" i="1"/>
  <c r="N12" i="1"/>
  <c r="N13" i="1"/>
  <c r="N14" i="1"/>
  <c r="N15" i="1"/>
  <c r="N16" i="1"/>
  <c r="N3" i="1"/>
  <c r="N17" i="1"/>
  <c r="L17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3" i="1"/>
  <c r="J17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3" i="1"/>
  <c r="H17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3" i="1"/>
  <c r="F17" i="1"/>
  <c r="F3" i="1"/>
  <c r="D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D4" i="1" l="1"/>
  <c r="D5" i="1"/>
  <c r="D6" i="1"/>
  <c r="D7" i="1"/>
  <c r="D8" i="1"/>
  <c r="D9" i="1"/>
  <c r="D10" i="1"/>
  <c r="D11" i="1"/>
  <c r="D12" i="1"/>
  <c r="D13" i="1"/>
  <c r="D14" i="1"/>
  <c r="D15" i="1"/>
  <c r="D16" i="1"/>
  <c r="D17" i="1"/>
</calcChain>
</file>

<file path=xl/sharedStrings.xml><?xml version="1.0" encoding="utf-8"?>
<sst xmlns="http://schemas.openxmlformats.org/spreadsheetml/2006/main" count="44" uniqueCount="26">
  <si>
    <t>YOLOV8</t>
  </si>
  <si>
    <t>Món ăn</t>
  </si>
  <si>
    <t>Số ảnh dự đoán</t>
  </si>
  <si>
    <t>Tỷ lệ dự đoán đúng</t>
  </si>
  <si>
    <t>YOLOV9</t>
  </si>
  <si>
    <t>RT-DETR</t>
  </si>
  <si>
    <t>Bún cá</t>
  </si>
  <si>
    <t>Hủ tiếu Mỹ Tho</t>
  </si>
  <si>
    <t>Bún nước lèo</t>
  </si>
  <si>
    <t>Cơm tấm Long Xuyên</t>
  </si>
  <si>
    <t>Bún hải sản bề bề</t>
  </si>
  <si>
    <t>Bánh hỏi heo quay</t>
  </si>
  <si>
    <t>Cơm gà</t>
  </si>
  <si>
    <t>Cao lầu</t>
  </si>
  <si>
    <t>Mì Quảng</t>
  </si>
  <si>
    <t>Bún bò Huế</t>
  </si>
  <si>
    <t>Phở Hà Nội</t>
  </si>
  <si>
    <t>Bún mực</t>
  </si>
  <si>
    <t>Bún mọc</t>
  </si>
  <si>
    <t>Bún đậu mắm tôm</t>
  </si>
  <si>
    <t>Dự đoán đúng</t>
  </si>
  <si>
    <t>Độ chính xác trung bình</t>
  </si>
  <si>
    <t>DenseNet201</t>
  </si>
  <si>
    <t>MobileNet</t>
  </si>
  <si>
    <t>InceptionV3</t>
  </si>
  <si>
    <t>InceptionResnetV2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</si>
</sst>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5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0" fontId="1" fillId="2" borderId="1" xfId="1" applyNumberFormat="1" applyFont="1" applyFill="1" applyBorder="1" applyAlignment="1">
      <alignment horizontal="center" vertical="center"/>
    </xf>
    <xf numFmtId="9" fontId="1" fillId="2" borderId="1" xfId="1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0" fontId="1" fillId="3" borderId="1" xfId="1" applyNumberFormat="1" applyFont="1" applyFill="1" applyBorder="1" applyAlignment="1">
      <alignment horizontal="center" vertical="center"/>
    </xf>
    <xf numFmtId="9" fontId="1" fillId="3" borderId="1" xfId="1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64" fontId="1" fillId="4" borderId="1" xfId="1" applyNumberFormat="1" applyFont="1" applyFill="1" applyBorder="1" applyAlignment="1">
      <alignment horizontal="center" vertical="center"/>
    </xf>
    <xf numFmtId="10" fontId="1" fillId="4" borderId="1" xfId="1" applyNumberFormat="1" applyFont="1" applyFill="1" applyBorder="1" applyAlignment="1">
      <alignment horizontal="center" vertical="center"/>
    </xf>
    <xf numFmtId="9" fontId="1" fillId="4" borderId="1" xfId="1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  <xf numFmtId="10" fontId="1" fillId="4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0" fontId="1" fillId="5" borderId="1" xfId="1" applyNumberFormat="1" applyFont="1" applyFill="1" applyBorder="1" applyAlignment="1">
      <alignment horizontal="center" vertical="center"/>
    </xf>
    <xf numFmtId="9" fontId="1" fillId="5" borderId="1" xfId="1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0" fontId="1" fillId="6" borderId="1" xfId="1" applyNumberFormat="1" applyFont="1" applyFill="1" applyBorder="1" applyAlignment="1">
      <alignment horizontal="center" vertical="center"/>
    </xf>
    <xf numFmtId="9" fontId="1" fillId="6" borderId="1" xfId="1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10" fontId="1" fillId="6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9" fontId="1" fillId="7" borderId="1" xfId="1" applyNumberFormat="1" applyFont="1" applyFill="1" applyBorder="1" applyAlignment="1">
      <alignment horizontal="center" vertical="center"/>
    </xf>
    <xf numFmtId="10" fontId="1" fillId="7" borderId="1" xfId="1" applyNumberFormat="1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 wrapText="1"/>
    </xf>
    <xf numFmtId="10" fontId="1" fillId="7" borderId="1" xfId="0" applyNumberFormat="1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2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0" fontId="1" fillId="8" borderId="1" xfId="1" applyNumberFormat="1" applyFont="1" applyFill="1" applyBorder="1" applyAlignment="1">
      <alignment horizontal="center" vertical="center"/>
    </xf>
    <xf numFmtId="9" fontId="1" fillId="8" borderId="1" xfId="1" applyNumberFormat="1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 wrapText="1"/>
    </xf>
    <xf numFmtId="10" fontId="1" fillId="8" borderId="1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7"/>
  <sheetViews>
    <sheetView tabSelected="1" topLeftCell="F1" workbookViewId="0">
      <selection activeCell="P18" sqref="P18"/>
    </sheetView>
  </sheetViews>
  <sheetFormatPr defaultRowHeight="15.6" x14ac:dyDescent="0.3"/>
  <cols>
    <col min="1" max="1" width="22.6640625" style="3" customWidth="1"/>
    <col min="2" max="2" width="18.6640625" style="3" customWidth="1"/>
    <col min="3" max="3" width="16.5546875" style="3" customWidth="1"/>
    <col min="4" max="4" width="21.5546875" style="3" customWidth="1"/>
    <col min="5" max="5" width="15.88671875" style="3" customWidth="1"/>
    <col min="6" max="6" width="20" style="3" customWidth="1"/>
    <col min="7" max="7" width="16.109375" style="3" customWidth="1"/>
    <col min="8" max="8" width="22.109375" style="3" customWidth="1"/>
    <col min="9" max="9" width="14.5546875" style="3" bestFit="1" customWidth="1"/>
    <col min="10" max="10" width="19.33203125" style="3" bestFit="1" customWidth="1"/>
    <col min="11" max="11" width="14.5546875" style="3" bestFit="1" customWidth="1"/>
    <col min="12" max="12" width="19.33203125" style="3" bestFit="1" customWidth="1"/>
    <col min="13" max="13" width="17.6640625" style="3" customWidth="1"/>
    <col min="14" max="14" width="21.5546875" style="3" customWidth="1"/>
    <col min="15" max="15" width="17.5546875" style="3" customWidth="1"/>
    <col min="16" max="16" width="19.33203125" style="3" customWidth="1"/>
    <col min="17" max="16384" width="8.88671875" style="3"/>
  </cols>
  <sheetData>
    <row r="1" spans="1:16" x14ac:dyDescent="0.3">
      <c r="A1" s="43" t="s">
        <v>1</v>
      </c>
      <c r="B1" s="47" t="s">
        <v>2</v>
      </c>
      <c r="C1" s="44" t="s">
        <v>0</v>
      </c>
      <c r="D1" s="44"/>
      <c r="E1" s="45" t="s">
        <v>4</v>
      </c>
      <c r="F1" s="45"/>
      <c r="G1" s="46" t="s">
        <v>5</v>
      </c>
      <c r="H1" s="46"/>
      <c r="I1" s="41" t="s">
        <v>22</v>
      </c>
      <c r="J1" s="41"/>
      <c r="K1" s="42" t="s">
        <v>23</v>
      </c>
      <c r="L1" s="42"/>
      <c r="M1" s="40" t="s">
        <v>24</v>
      </c>
      <c r="N1" s="40"/>
      <c r="O1" s="49" t="s">
        <v>25</v>
      </c>
      <c r="P1" s="49"/>
    </row>
    <row r="2" spans="1:16" x14ac:dyDescent="0.3">
      <c r="A2" s="43"/>
      <c r="B2" s="48"/>
      <c r="C2" s="14" t="s">
        <v>20</v>
      </c>
      <c r="D2" s="14" t="s">
        <v>3</v>
      </c>
      <c r="E2" s="9" t="s">
        <v>20</v>
      </c>
      <c r="F2" s="9" t="s">
        <v>3</v>
      </c>
      <c r="G2" s="4" t="s">
        <v>20</v>
      </c>
      <c r="H2" s="4" t="s">
        <v>3</v>
      </c>
      <c r="I2" s="32" t="s">
        <v>20</v>
      </c>
      <c r="J2" s="32" t="s">
        <v>3</v>
      </c>
      <c r="K2" s="21" t="s">
        <v>20</v>
      </c>
      <c r="L2" s="21" t="s">
        <v>3</v>
      </c>
      <c r="M2" s="26" t="s">
        <v>20</v>
      </c>
      <c r="N2" s="26" t="s">
        <v>3</v>
      </c>
      <c r="O2" s="50" t="s">
        <v>20</v>
      </c>
      <c r="P2" s="50" t="s">
        <v>3</v>
      </c>
    </row>
    <row r="3" spans="1:16" x14ac:dyDescent="0.3">
      <c r="A3" s="2" t="s">
        <v>6</v>
      </c>
      <c r="B3" s="1">
        <v>111</v>
      </c>
      <c r="C3" s="15">
        <v>110</v>
      </c>
      <c r="D3" s="16">
        <f>(C3/B3)</f>
        <v>0.99099099099099097</v>
      </c>
      <c r="E3" s="10">
        <v>111</v>
      </c>
      <c r="F3" s="12">
        <f>(E3/B3)</f>
        <v>1</v>
      </c>
      <c r="G3" s="5">
        <v>110</v>
      </c>
      <c r="H3" s="6">
        <f>G3/B3</f>
        <v>0.99099099099099097</v>
      </c>
      <c r="I3" s="33">
        <v>14</v>
      </c>
      <c r="J3" s="35">
        <f>(I3/B3)</f>
        <v>0.12612612612612611</v>
      </c>
      <c r="K3" s="22">
        <v>83</v>
      </c>
      <c r="L3" s="23">
        <f>K3/B3</f>
        <v>0.74774774774774777</v>
      </c>
      <c r="M3" s="27">
        <v>52</v>
      </c>
      <c r="N3" s="28">
        <f>M3/B3</f>
        <v>0.46846846846846846</v>
      </c>
      <c r="O3" s="51">
        <v>44</v>
      </c>
      <c r="P3" s="52">
        <f>O3/B3</f>
        <v>0.3963963963963964</v>
      </c>
    </row>
    <row r="4" spans="1:16" x14ac:dyDescent="0.3">
      <c r="A4" s="2" t="s">
        <v>7</v>
      </c>
      <c r="B4" s="1">
        <v>60</v>
      </c>
      <c r="C4" s="15">
        <v>50</v>
      </c>
      <c r="D4" s="17">
        <f t="shared" ref="D4:D16" si="0">(C4/B4)</f>
        <v>0.83333333333333337</v>
      </c>
      <c r="E4" s="10">
        <v>51</v>
      </c>
      <c r="F4" s="12">
        <f t="shared" ref="F4:F16" si="1">(E4/B4)</f>
        <v>0.85</v>
      </c>
      <c r="G4" s="5">
        <v>53</v>
      </c>
      <c r="H4" s="6">
        <f t="shared" ref="H4:H16" si="2">G4/B4</f>
        <v>0.8833333333333333</v>
      </c>
      <c r="I4" s="33">
        <v>5</v>
      </c>
      <c r="J4" s="35">
        <f t="shared" ref="J4:J16" si="3">(I4/B4)</f>
        <v>8.3333333333333329E-2</v>
      </c>
      <c r="K4" s="22">
        <v>33</v>
      </c>
      <c r="L4" s="24">
        <f t="shared" ref="L4:L16" si="4">K4/B4</f>
        <v>0.55000000000000004</v>
      </c>
      <c r="M4" s="27">
        <v>16</v>
      </c>
      <c r="N4" s="28">
        <f t="shared" ref="N4:N16" si="5">M4/B4</f>
        <v>0.26666666666666666</v>
      </c>
      <c r="O4" s="51">
        <v>20</v>
      </c>
      <c r="P4" s="52">
        <f t="shared" ref="P4:P16" si="6">O4/B4</f>
        <v>0.33333333333333331</v>
      </c>
    </row>
    <row r="5" spans="1:16" x14ac:dyDescent="0.3">
      <c r="A5" s="2" t="s">
        <v>8</v>
      </c>
      <c r="B5" s="1">
        <v>120</v>
      </c>
      <c r="C5" s="15">
        <v>106</v>
      </c>
      <c r="D5" s="17">
        <f t="shared" si="0"/>
        <v>0.8833333333333333</v>
      </c>
      <c r="E5" s="10">
        <v>105</v>
      </c>
      <c r="F5" s="11">
        <f t="shared" si="1"/>
        <v>0.875</v>
      </c>
      <c r="G5" s="5">
        <v>105</v>
      </c>
      <c r="H5" s="6">
        <f t="shared" si="2"/>
        <v>0.875</v>
      </c>
      <c r="I5" s="33">
        <v>30</v>
      </c>
      <c r="J5" s="34">
        <f t="shared" si="3"/>
        <v>0.25</v>
      </c>
      <c r="K5" s="22">
        <v>104</v>
      </c>
      <c r="L5" s="23">
        <f t="shared" si="4"/>
        <v>0.8666666666666667</v>
      </c>
      <c r="M5" s="27">
        <v>38</v>
      </c>
      <c r="N5" s="28">
        <f t="shared" si="5"/>
        <v>0.31666666666666665</v>
      </c>
      <c r="O5" s="51">
        <v>104</v>
      </c>
      <c r="P5" s="52">
        <f t="shared" si="6"/>
        <v>0.8666666666666667</v>
      </c>
    </row>
    <row r="6" spans="1:16" x14ac:dyDescent="0.3">
      <c r="A6" s="2" t="s">
        <v>9</v>
      </c>
      <c r="B6" s="1">
        <v>195</v>
      </c>
      <c r="C6" s="15">
        <v>195</v>
      </c>
      <c r="D6" s="18">
        <f t="shared" si="0"/>
        <v>1</v>
      </c>
      <c r="E6" s="10">
        <v>195</v>
      </c>
      <c r="F6" s="12">
        <f t="shared" si="1"/>
        <v>1</v>
      </c>
      <c r="G6" s="5">
        <v>194</v>
      </c>
      <c r="H6" s="6">
        <f t="shared" si="2"/>
        <v>0.99487179487179489</v>
      </c>
      <c r="I6" s="33">
        <v>151</v>
      </c>
      <c r="J6" s="35">
        <f t="shared" si="3"/>
        <v>0.77435897435897438</v>
      </c>
      <c r="K6" s="22">
        <v>162</v>
      </c>
      <c r="L6" s="23">
        <f t="shared" si="4"/>
        <v>0.83076923076923082</v>
      </c>
      <c r="M6" s="27">
        <v>173</v>
      </c>
      <c r="N6" s="28">
        <f t="shared" si="5"/>
        <v>0.88717948717948714</v>
      </c>
      <c r="O6" s="51">
        <v>181</v>
      </c>
      <c r="P6" s="52">
        <f t="shared" si="6"/>
        <v>0.92820512820512824</v>
      </c>
    </row>
    <row r="7" spans="1:16" x14ac:dyDescent="0.3">
      <c r="A7" s="2" t="s">
        <v>10</v>
      </c>
      <c r="B7" s="1">
        <v>174</v>
      </c>
      <c r="C7" s="15">
        <v>168</v>
      </c>
      <c r="D7" s="17">
        <f t="shared" si="0"/>
        <v>0.96551724137931039</v>
      </c>
      <c r="E7" s="10">
        <v>167</v>
      </c>
      <c r="F7" s="11">
        <f t="shared" si="1"/>
        <v>0.95977011494252873</v>
      </c>
      <c r="G7" s="5">
        <v>167</v>
      </c>
      <c r="H7" s="6">
        <f t="shared" si="2"/>
        <v>0.95977011494252873</v>
      </c>
      <c r="I7" s="33">
        <v>63</v>
      </c>
      <c r="J7" s="35">
        <f t="shared" si="3"/>
        <v>0.36206896551724138</v>
      </c>
      <c r="K7" s="22">
        <v>146</v>
      </c>
      <c r="L7" s="23">
        <f t="shared" si="4"/>
        <v>0.83908045977011492</v>
      </c>
      <c r="M7" s="27">
        <v>101</v>
      </c>
      <c r="N7" s="28">
        <f t="shared" si="5"/>
        <v>0.58045977011494254</v>
      </c>
      <c r="O7" s="51">
        <v>149</v>
      </c>
      <c r="P7" s="52">
        <f t="shared" si="6"/>
        <v>0.85632183908045978</v>
      </c>
    </row>
    <row r="8" spans="1:16" x14ac:dyDescent="0.3">
      <c r="A8" s="2" t="s">
        <v>11</v>
      </c>
      <c r="B8" s="1">
        <v>96</v>
      </c>
      <c r="C8" s="15">
        <v>96</v>
      </c>
      <c r="D8" s="18">
        <f t="shared" si="0"/>
        <v>1</v>
      </c>
      <c r="E8" s="10">
        <v>96</v>
      </c>
      <c r="F8" s="12">
        <f t="shared" si="1"/>
        <v>1</v>
      </c>
      <c r="G8" s="5">
        <v>96</v>
      </c>
      <c r="H8" s="7">
        <f t="shared" si="2"/>
        <v>1</v>
      </c>
      <c r="I8" s="33">
        <v>87</v>
      </c>
      <c r="J8" s="35">
        <f t="shared" si="3"/>
        <v>0.90625</v>
      </c>
      <c r="K8" s="22">
        <v>92</v>
      </c>
      <c r="L8" s="23">
        <f t="shared" si="4"/>
        <v>0.95833333333333337</v>
      </c>
      <c r="M8" s="27">
        <v>83</v>
      </c>
      <c r="N8" s="28">
        <f t="shared" si="5"/>
        <v>0.86458333333333337</v>
      </c>
      <c r="O8" s="51">
        <v>81</v>
      </c>
      <c r="P8" s="52">
        <f t="shared" si="6"/>
        <v>0.84375</v>
      </c>
    </row>
    <row r="9" spans="1:16" x14ac:dyDescent="0.3">
      <c r="A9" s="2" t="s">
        <v>12</v>
      </c>
      <c r="B9" s="1">
        <v>172</v>
      </c>
      <c r="C9" s="15">
        <v>172</v>
      </c>
      <c r="D9" s="18">
        <f t="shared" si="0"/>
        <v>1</v>
      </c>
      <c r="E9" s="10">
        <v>172</v>
      </c>
      <c r="F9" s="12">
        <f t="shared" si="1"/>
        <v>1</v>
      </c>
      <c r="G9" s="5">
        <v>172</v>
      </c>
      <c r="H9" s="7">
        <f t="shared" si="2"/>
        <v>1</v>
      </c>
      <c r="I9" s="33">
        <v>145</v>
      </c>
      <c r="J9" s="35">
        <f t="shared" si="3"/>
        <v>0.84302325581395354</v>
      </c>
      <c r="K9" s="22">
        <v>165</v>
      </c>
      <c r="L9" s="23">
        <f t="shared" si="4"/>
        <v>0.95930232558139539</v>
      </c>
      <c r="M9" s="27">
        <v>141</v>
      </c>
      <c r="N9" s="28">
        <f t="shared" si="5"/>
        <v>0.81976744186046513</v>
      </c>
      <c r="O9" s="51">
        <v>123</v>
      </c>
      <c r="P9" s="52">
        <f t="shared" si="6"/>
        <v>0.71511627906976749</v>
      </c>
    </row>
    <row r="10" spans="1:16" x14ac:dyDescent="0.3">
      <c r="A10" s="2" t="s">
        <v>13</v>
      </c>
      <c r="B10" s="1">
        <v>165</v>
      </c>
      <c r="C10" s="15">
        <v>154</v>
      </c>
      <c r="D10" s="17">
        <f t="shared" si="0"/>
        <v>0.93333333333333335</v>
      </c>
      <c r="E10" s="10">
        <v>154</v>
      </c>
      <c r="F10" s="11">
        <f t="shared" si="1"/>
        <v>0.93333333333333335</v>
      </c>
      <c r="G10" s="5">
        <v>155</v>
      </c>
      <c r="H10" s="6">
        <f t="shared" si="2"/>
        <v>0.93939393939393945</v>
      </c>
      <c r="I10" s="33">
        <v>136</v>
      </c>
      <c r="J10" s="35">
        <f t="shared" si="3"/>
        <v>0.82424242424242422</v>
      </c>
      <c r="K10" s="22">
        <v>157</v>
      </c>
      <c r="L10" s="23">
        <f t="shared" si="4"/>
        <v>0.95151515151515154</v>
      </c>
      <c r="M10" s="27">
        <v>88</v>
      </c>
      <c r="N10" s="28">
        <f t="shared" si="5"/>
        <v>0.53333333333333333</v>
      </c>
      <c r="O10" s="51">
        <v>100</v>
      </c>
      <c r="P10" s="52">
        <f t="shared" si="6"/>
        <v>0.60606060606060608</v>
      </c>
    </row>
    <row r="11" spans="1:16" x14ac:dyDescent="0.3">
      <c r="A11" s="2" t="s">
        <v>14</v>
      </c>
      <c r="B11" s="1">
        <v>150</v>
      </c>
      <c r="C11" s="15">
        <v>141</v>
      </c>
      <c r="D11" s="18">
        <f t="shared" si="0"/>
        <v>0.94</v>
      </c>
      <c r="E11" s="10">
        <v>139</v>
      </c>
      <c r="F11" s="11">
        <f t="shared" si="1"/>
        <v>0.92666666666666664</v>
      </c>
      <c r="G11" s="5">
        <v>143</v>
      </c>
      <c r="H11" s="6">
        <f t="shared" si="2"/>
        <v>0.95333333333333337</v>
      </c>
      <c r="I11" s="33">
        <v>55</v>
      </c>
      <c r="J11" s="35">
        <f t="shared" si="3"/>
        <v>0.36666666666666664</v>
      </c>
      <c r="K11" s="22">
        <v>137</v>
      </c>
      <c r="L11" s="23">
        <f t="shared" si="4"/>
        <v>0.91333333333333333</v>
      </c>
      <c r="M11" s="27">
        <v>42</v>
      </c>
      <c r="N11" s="29">
        <f t="shared" si="5"/>
        <v>0.28000000000000003</v>
      </c>
      <c r="O11" s="51">
        <v>81</v>
      </c>
      <c r="P11" s="53">
        <f t="shared" si="6"/>
        <v>0.54</v>
      </c>
    </row>
    <row r="12" spans="1:16" x14ac:dyDescent="0.3">
      <c r="A12" s="2" t="s">
        <v>15</v>
      </c>
      <c r="B12" s="1">
        <v>144</v>
      </c>
      <c r="C12" s="15">
        <v>143</v>
      </c>
      <c r="D12" s="17">
        <f t="shared" si="0"/>
        <v>0.99305555555555558</v>
      </c>
      <c r="E12" s="10">
        <v>144</v>
      </c>
      <c r="F12" s="12">
        <f t="shared" si="1"/>
        <v>1</v>
      </c>
      <c r="G12" s="5">
        <v>143</v>
      </c>
      <c r="H12" s="6">
        <f t="shared" si="2"/>
        <v>0.99305555555555558</v>
      </c>
      <c r="I12" s="33">
        <v>45</v>
      </c>
      <c r="J12" s="35">
        <f t="shared" si="3"/>
        <v>0.3125</v>
      </c>
      <c r="K12" s="22">
        <v>58</v>
      </c>
      <c r="L12" s="23">
        <f t="shared" si="4"/>
        <v>0.40277777777777779</v>
      </c>
      <c r="M12" s="27">
        <v>53</v>
      </c>
      <c r="N12" s="28">
        <f t="shared" si="5"/>
        <v>0.36805555555555558</v>
      </c>
      <c r="O12" s="51">
        <v>73</v>
      </c>
      <c r="P12" s="52">
        <f t="shared" si="6"/>
        <v>0.50694444444444442</v>
      </c>
    </row>
    <row r="13" spans="1:16" x14ac:dyDescent="0.3">
      <c r="A13" s="2" t="s">
        <v>16</v>
      </c>
      <c r="B13" s="1">
        <v>177</v>
      </c>
      <c r="C13" s="15">
        <v>177</v>
      </c>
      <c r="D13" s="18">
        <f t="shared" si="0"/>
        <v>1</v>
      </c>
      <c r="E13" s="10">
        <v>176</v>
      </c>
      <c r="F13" s="11">
        <f t="shared" si="1"/>
        <v>0.99435028248587576</v>
      </c>
      <c r="G13" s="5">
        <v>177</v>
      </c>
      <c r="H13" s="7">
        <f t="shared" si="2"/>
        <v>1</v>
      </c>
      <c r="I13" s="33">
        <v>170</v>
      </c>
      <c r="J13" s="35">
        <f t="shared" si="3"/>
        <v>0.96045197740112997</v>
      </c>
      <c r="K13" s="22">
        <v>146</v>
      </c>
      <c r="L13" s="23">
        <f t="shared" si="4"/>
        <v>0.82485875706214684</v>
      </c>
      <c r="M13" s="27">
        <v>160</v>
      </c>
      <c r="N13" s="28">
        <f t="shared" si="5"/>
        <v>0.903954802259887</v>
      </c>
      <c r="O13" s="51">
        <v>121</v>
      </c>
      <c r="P13" s="52">
        <f t="shared" si="6"/>
        <v>0.68361581920903958</v>
      </c>
    </row>
    <row r="14" spans="1:16" x14ac:dyDescent="0.3">
      <c r="A14" s="2" t="s">
        <v>17</v>
      </c>
      <c r="B14" s="1">
        <v>84</v>
      </c>
      <c r="C14" s="15">
        <v>83</v>
      </c>
      <c r="D14" s="17">
        <f t="shared" si="0"/>
        <v>0.98809523809523814</v>
      </c>
      <c r="E14" s="10">
        <v>83</v>
      </c>
      <c r="F14" s="11">
        <f t="shared" si="1"/>
        <v>0.98809523809523814</v>
      </c>
      <c r="G14" s="5">
        <v>82</v>
      </c>
      <c r="H14" s="6">
        <f t="shared" si="2"/>
        <v>0.97619047619047616</v>
      </c>
      <c r="I14" s="33">
        <v>74</v>
      </c>
      <c r="J14" s="35">
        <f t="shared" si="3"/>
        <v>0.88095238095238093</v>
      </c>
      <c r="K14" s="22">
        <v>44</v>
      </c>
      <c r="L14" s="23">
        <f t="shared" si="4"/>
        <v>0.52380952380952384</v>
      </c>
      <c r="M14" s="27">
        <v>27</v>
      </c>
      <c r="N14" s="28">
        <f t="shared" si="5"/>
        <v>0.32142857142857145</v>
      </c>
      <c r="O14" s="51">
        <v>14</v>
      </c>
      <c r="P14" s="52">
        <f t="shared" si="6"/>
        <v>0.16666666666666666</v>
      </c>
    </row>
    <row r="15" spans="1:16" x14ac:dyDescent="0.3">
      <c r="A15" s="2" t="s">
        <v>18</v>
      </c>
      <c r="B15" s="1">
        <v>104</v>
      </c>
      <c r="C15" s="15">
        <v>103</v>
      </c>
      <c r="D15" s="17">
        <f t="shared" si="0"/>
        <v>0.99038461538461542</v>
      </c>
      <c r="E15" s="10">
        <v>104</v>
      </c>
      <c r="F15" s="12">
        <f t="shared" si="1"/>
        <v>1</v>
      </c>
      <c r="G15" s="5">
        <v>103</v>
      </c>
      <c r="H15" s="6">
        <f t="shared" si="2"/>
        <v>0.99038461538461542</v>
      </c>
      <c r="I15" s="33">
        <v>78</v>
      </c>
      <c r="J15" s="34">
        <f t="shared" si="3"/>
        <v>0.75</v>
      </c>
      <c r="K15" s="22">
        <v>89</v>
      </c>
      <c r="L15" s="23">
        <f t="shared" si="4"/>
        <v>0.85576923076923073</v>
      </c>
      <c r="M15" s="27">
        <v>70</v>
      </c>
      <c r="N15" s="28">
        <f t="shared" si="5"/>
        <v>0.67307692307692313</v>
      </c>
      <c r="O15" s="51">
        <v>58</v>
      </c>
      <c r="P15" s="52">
        <f t="shared" si="6"/>
        <v>0.55769230769230771</v>
      </c>
    </row>
    <row r="16" spans="1:16" x14ac:dyDescent="0.3">
      <c r="A16" s="2" t="s">
        <v>19</v>
      </c>
      <c r="B16" s="1">
        <v>146</v>
      </c>
      <c r="C16" s="15">
        <v>139</v>
      </c>
      <c r="D16" s="17">
        <f t="shared" si="0"/>
        <v>0.95205479452054798</v>
      </c>
      <c r="E16" s="10">
        <v>140</v>
      </c>
      <c r="F16" s="11">
        <f t="shared" si="1"/>
        <v>0.95890410958904104</v>
      </c>
      <c r="G16" s="5">
        <v>138</v>
      </c>
      <c r="H16" s="6">
        <f t="shared" si="2"/>
        <v>0.9452054794520548</v>
      </c>
      <c r="I16" s="33">
        <v>142</v>
      </c>
      <c r="J16" s="35">
        <f t="shared" si="3"/>
        <v>0.9726027397260274</v>
      </c>
      <c r="K16" s="22">
        <v>145</v>
      </c>
      <c r="L16" s="23">
        <f t="shared" si="4"/>
        <v>0.99315068493150682</v>
      </c>
      <c r="M16" s="27">
        <v>87</v>
      </c>
      <c r="N16" s="28">
        <f t="shared" si="5"/>
        <v>0.59589041095890416</v>
      </c>
      <c r="O16" s="51">
        <v>135</v>
      </c>
      <c r="P16" s="52">
        <f t="shared" si="6"/>
        <v>0.92465753424657537</v>
      </c>
    </row>
    <row r="17" spans="1:16" ht="31.2" x14ac:dyDescent="0.3">
      <c r="A17" s="38"/>
      <c r="B17" s="39"/>
      <c r="C17" s="19" t="s">
        <v>21</v>
      </c>
      <c r="D17" s="20">
        <f>SUM(C3:C16)/SUM(B3:B16)</f>
        <v>0.96786090621707055</v>
      </c>
      <c r="E17" s="13" t="s">
        <v>21</v>
      </c>
      <c r="F17" s="11">
        <f>SUM(E3:E16)/SUM(B3:B16)</f>
        <v>0.96786090621707055</v>
      </c>
      <c r="G17" s="8" t="s">
        <v>21</v>
      </c>
      <c r="H17" s="6">
        <f>SUM(G3:G16)/SUM(B3:B16)</f>
        <v>0.96838777660695474</v>
      </c>
      <c r="I17" s="36" t="s">
        <v>21</v>
      </c>
      <c r="J17" s="37">
        <f>SUM(I3:I16)/SUM(B3:B16)</f>
        <v>0.62961011591148575</v>
      </c>
      <c r="K17" s="25" t="s">
        <v>21</v>
      </c>
      <c r="L17" s="23">
        <f>SUM(K3:K16)/SUM(B3:B16)</f>
        <v>0.82244467860906212</v>
      </c>
      <c r="M17" s="30" t="s">
        <v>21</v>
      </c>
      <c r="N17" s="31">
        <f>SUM(M3:M16)/SUM(B3:B16)</f>
        <v>0.59589041095890416</v>
      </c>
      <c r="O17" s="54" t="s">
        <v>21</v>
      </c>
      <c r="P17" s="55">
        <f>SUM(O3:O16)/SUM(B3:B16)</f>
        <v>0.67650158061116961</v>
      </c>
    </row>
  </sheetData>
  <mergeCells count="10">
    <mergeCell ref="O1:P1"/>
    <mergeCell ref="A17:B17"/>
    <mergeCell ref="M1:N1"/>
    <mergeCell ref="I1:J1"/>
    <mergeCell ref="K1:L1"/>
    <mergeCell ref="A1:A2"/>
    <mergeCell ref="C1:D1"/>
    <mergeCell ref="E1:F1"/>
    <mergeCell ref="G1:H1"/>
    <mergeCell ref="B1:B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2024-05-13T07:55:50Z</dcterms:modified>
</cp:coreProperties>
</file>